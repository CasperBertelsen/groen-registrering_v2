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bj\Dropbox\postgres\groenreg\excel\"/>
    </mc:Choice>
  </mc:AlternateContent>
  <xr:revisionPtr revIDLastSave="0" documentId="13_ncr:1_{F618DD62-BAB2-4D21-93B4-EFE7533D60BD}" xr6:coauthVersionLast="40" xr6:coauthVersionMax="40" xr10:uidLastSave="{00000000-0000-0000-0000-000000000000}"/>
  <bookViews>
    <workbookView xWindow="0" yWindow="0" windowWidth="23040" windowHeight="9225" xr2:uid="{00000000-000D-0000-FFFF-FFFF00000000}"/>
  </bookViews>
  <sheets>
    <sheet name="Ark1" sheetId="2" r:id="rId1"/>
  </sheets>
  <definedNames>
    <definedName name="Forespørgsel_fra_groenreg" localSheetId="0" hidden="1">'Ark1'!#REF!</definedName>
  </definedNames>
  <calcPr calcId="162913"/>
  <pivotCaches>
    <pivotCache cacheId="4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A5146B-2F39-4FB0-8E16-55978E49D11D}" name="Mængder - Pivot" type="1" refreshedVersion="6" deleted="1" refreshOnLoad="1">
    <dbPr connection="" command=""/>
  </connection>
</connections>
</file>

<file path=xl/sharedStrings.xml><?xml version="1.0" encoding="utf-8"?>
<sst xmlns="http://schemas.openxmlformats.org/spreadsheetml/2006/main" count="45" uniqueCount="36">
  <si>
    <t xml:space="preserve">Mængde </t>
  </si>
  <si>
    <t xml:space="preserve">Enhedspris </t>
  </si>
  <si>
    <t xml:space="preserve">Pris </t>
  </si>
  <si>
    <t>4201 Veje By Frederikssund</t>
  </si>
  <si>
    <t>1211 Bløden</t>
  </si>
  <si>
    <t>ANA Anden anvendelse</t>
  </si>
  <si>
    <t>BE-01-01 Asfalt</t>
  </si>
  <si>
    <t>BE-01-02 Beton</t>
  </si>
  <si>
    <t>BE-01-03 Natursten</t>
  </si>
  <si>
    <t>BE-02-04 Jord</t>
  </si>
  <si>
    <t>BE-03 Grus</t>
  </si>
  <si>
    <t>BE-06-01 Faldgrus</t>
  </si>
  <si>
    <t>BU-02 Busket</t>
  </si>
  <si>
    <t>BU-03 Krat og hegn</t>
  </si>
  <si>
    <t>GR-01 Brugsplæne</t>
  </si>
  <si>
    <t>GR-04 Fælledgræs</t>
  </si>
  <si>
    <t>HA-01 Hæk og pur</t>
  </si>
  <si>
    <t>TR-01 Fritstående træ</t>
  </si>
  <si>
    <t>UD-01-05 Parklys</t>
  </si>
  <si>
    <t>UD-01-10 Affaldscontainer</t>
  </si>
  <si>
    <t>UD-03-02 Betonmur</t>
  </si>
  <si>
    <t>UD-04-01 Bord- og bænkesæt</t>
  </si>
  <si>
    <t>UD-04 Bænk</t>
  </si>
  <si>
    <t>UD-06 Legeudstyr</t>
  </si>
  <si>
    <t>UD-07-01 Affaldsspand</t>
  </si>
  <si>
    <t>BL-03 Plantekumme</t>
  </si>
  <si>
    <t>BL-04 Roser og stauder</t>
  </si>
  <si>
    <t>HA-01-01 Hæk og pur - 2x klip</t>
  </si>
  <si>
    <t>TR-02 Vejtræ</t>
  </si>
  <si>
    <t>UD-02-01 Betontrappe</t>
  </si>
  <si>
    <t>UD-08 Busstop</t>
  </si>
  <si>
    <t>Antal (stk.)</t>
  </si>
  <si>
    <t>Areal (m²)</t>
  </si>
  <si>
    <t>Klippeflade (m²)</t>
  </si>
  <si>
    <t>Længde (lbm.)</t>
  </si>
  <si>
    <t xml:space="preserve">Udtræk pr. 05-12-2018 17:32:32_x000D_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</si>
</sst>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&quot;kr.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wrapText="1"/>
    </xf>
    <xf numFmtId="0" fontId="0" fillId="0" borderId="0" xfId="0" applyAlignment="1">
      <alignment horizontal="left" indent="3"/>
    </xf>
  </cellXfs>
  <cellStyles count="1">
    <cellStyle name="Normal" xfId="0" builtinId="0"/>
  </cellStyles>
  <dxfs count="29">
    <dxf>
      <numFmt numFmtId="170" formatCode="#,##0.00\ &quot;kr&quot;"/>
    </dxf>
    <dxf>
      <numFmt numFmtId="169" formatCode=";;;"/>
    </dxf>
    <dxf>
      <numFmt numFmtId="169" formatCode=";;;"/>
    </dxf>
    <dxf>
      <numFmt numFmtId="169" formatCode=";;;"/>
    </dxf>
    <dxf>
      <alignment wrapText="1"/>
    </dxf>
    <dxf>
      <fill>
        <patternFill patternType="solid">
          <fgColor theme="9" tint="0.79998168889431442"/>
          <bgColor theme="9" tint="0.79998168889431442"/>
        </patternFill>
      </fill>
      <border>
        <bottom style="thin">
          <color theme="9" tint="0.3999755851924192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bottom style="thin">
          <color theme="9" tint="0.39997558519241921"/>
        </bottom>
      </border>
    </dxf>
    <dxf>
      <fill>
        <patternFill>
          <bgColor theme="9" tint="0.79998168889431442"/>
        </patternFill>
      </fill>
    </dxf>
    <dxf>
      <font>
        <b/>
        <color theme="1"/>
      </font>
      <fill>
        <patternFill>
          <bgColor theme="9" tint="0.59996337778862885"/>
        </patternFill>
      </fill>
    </dxf>
    <dxf>
      <font>
        <b/>
        <color theme="1"/>
      </font>
      <fill>
        <patternFill>
          <bgColor theme="9" tint="0.59996337778862885"/>
        </patternFill>
      </fill>
      <border>
        <bottom style="thin">
          <color theme="9" tint="0.39997558519241921"/>
        </bottom>
      </border>
    </dxf>
    <dxf>
      <fill>
        <patternFill>
          <bgColor theme="9" tint="0.39994506668294322"/>
        </patternFill>
      </fill>
    </dxf>
    <dxf>
      <font>
        <b/>
        <color theme="1"/>
      </font>
      <fill>
        <patternFill>
          <bgColor theme="9" tint="0.59996337778862885"/>
        </patternFill>
      </fill>
    </dxf>
    <dxf>
      <font>
        <b/>
        <color theme="1"/>
      </font>
      <fill>
        <patternFill>
          <bgColor theme="9" tint="0.79998168889431442"/>
        </patternFill>
      </fill>
      <border>
        <top style="thin">
          <color theme="9"/>
        </top>
        <bottom style="thin">
          <color theme="9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39997558519241921"/>
        </top>
      </border>
    </dxf>
    <dxf>
      <font>
        <color theme="9" tint="0.59996337778862885"/>
      </font>
      <fill>
        <patternFill patternType="solid">
          <fgColor theme="9" tint="0.39988402966399123"/>
          <bgColor theme="9" tint="0.59996337778862885"/>
        </patternFill>
      </fill>
      <border>
        <bottom style="thin">
          <color theme="9" tint="0.39994506668294322"/>
        </bottom>
      </border>
    </dxf>
    <dxf>
      <border>
        <horizontal style="thin">
          <color theme="9" tint="0.59996337778862885"/>
        </horizontal>
      </border>
    </dxf>
    <dxf>
      <alignment wrapText="1"/>
    </dxf>
    <dxf>
      <alignment wrapText="1"/>
    </dxf>
    <dxf>
      <border>
        <top style="thin">
          <color theme="9" tint="0.59996337778862885"/>
        </top>
        <vertical/>
        <horizontal/>
      </border>
    </dxf>
    <dxf>
      <fill>
        <patternFill>
          <bgColor theme="9" tint="0.59996337778862885"/>
        </patternFill>
      </fill>
      <border>
        <left/>
        <right/>
        <top style="thin">
          <color theme="9" tint="0.39994506668294322"/>
        </top>
        <bottom style="thin">
          <color theme="9" tint="0.39994506668294322"/>
        </bottom>
      </border>
    </dxf>
    <dxf>
      <numFmt numFmtId="165" formatCode="&quot;Total:&quot;"/>
    </dxf>
    <dxf>
      <numFmt numFmtId="166" formatCode="&quot;Enhedspris&quot;"/>
    </dxf>
    <dxf>
      <numFmt numFmtId="3" formatCode="#,##0"/>
    </dxf>
    <dxf>
      <numFmt numFmtId="167" formatCode="#,##0.0"/>
    </dxf>
    <dxf>
      <numFmt numFmtId="168" formatCode="&quot;Mængde&quot;"/>
    </dxf>
    <dxf>
      <numFmt numFmtId="169" formatCode=";;;"/>
    </dxf>
  </dxfs>
  <tableStyles count="1" defaultTableStyle="TableStyleMedium2" defaultPivotStyle="PivotStyleLight16">
    <tableStyle name="PivotStyleLight21 2" table="0" count="14" xr9:uid="{00000000-0011-0000-FFFF-FFFF00000000}">
      <tableStyleElement type="wholeTable" dxfId="18"/>
      <tableStyleElement type="headerRow" dxfId="17"/>
      <tableStyleElement type="totalRow" dxfId="16"/>
      <tableStyleElement type="firstRowStripe" dxfId="15"/>
      <tableStyleElement type="firstColumnStripe" dxfId="14"/>
      <tableStyleElement type="firstSubtotalColumn" dxfId="13"/>
      <tableStyleElement type="firstSubtotalRow" dxfId="12"/>
      <tableStyleElement type="secondSubtotalRow" dxfId="11"/>
      <tableStyleElement type="thirdSubtotalRow" dxfId="10"/>
      <tableStyleElement type="firstRowSubheading" dxfId="9"/>
      <tableStyleElement type="secondRowSubheading" dxfId="8"/>
      <tableStyleElement type="thirdRowSubheading" dxfId="7"/>
      <tableStyleElement type="pageFieldLabels" dxfId="6"/>
      <tableStyleElement type="pageFieldValues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bj" refreshedDate="43439.730935069441" createdVersion="6" refreshedVersion="6" minRefreshableVersion="3" recordCount="32" xr:uid="{00000000-000A-0000-FFFF-FFFF04000000}">
  <cacheSource type="external" connectionId="1"/>
  <cacheFields count="7">
    <cacheField name="filter" numFmtId="0" sqlType="-10">
      <sharedItems containsBlank="1" count="32">
        <s v="Udtræk pr. 05-12-2018 17:32:32_x000d__x000a_"/>
        <m u="1"/>
        <s v="Udtræk pr. 14-11-2018 17:21:34_x000d__x000a_" u="1"/>
        <s v="Udtræk pr. 05-12-2018 17:29:12_x000d__x000a_" u="1"/>
        <s v="Udtræk pr. 14-11-2018 17:49:59_x000d__x000a_Filtre:_x000d__x000a_Område: 1211 Bløden" u="1"/>
        <s v="17-03-2018 13:10:42_x000d__x000a_Ingen filtre" u="1"/>
        <s v="Udtræk pr. 14-11-2018 17:23:02_x000d__x000a_" u="1"/>
        <s v="Ingen filtre" u="1"/>
        <s v="Udtræk pr. 14-11-2018 17:23:31_x000d__x000a_" u="1"/>
        <s v="Udtræk pr. 26-11-2018 21:36:09_x000d__x000a_" u="1"/>
        <s v="Udtræk pr. 14-11-2018 17:23:50_x000d__x000a_" u="1"/>
        <s v="Udtrækstidspunkt: 17-03-2018 13:12:43" u="1"/>
        <s v="Udtræk pr. 17-03-2018 13:13:14" u="1"/>
        <s v="Filtre:_x000d__x000a_Områdenr.: 1211 Bløden" u="1"/>
        <s v="Udtræk pr. 14-11-2018 17:21:28_x000d__x000a_" u="1"/>
        <s v="Udtræk pr. 17-03-2018 13:17:57_x000d__x000a_Filtre:_x000d__x000a_Distrikt: Grønne områder, Familieafdelingen" u="1"/>
        <s v="Udtræk pr. 17-03-2018 13:20:55_x000d__x000a_Filtre:_x000d__x000a_Distrikt: Grønne områder, Familieafdelingen" u="1"/>
        <s v="17-03-2018 13:11:50" u="1"/>
        <s v="Udtræk pr. 14-11-2018 17:23:33_x000d__x000a_" u="1"/>
        <s v="Udtræk pr. 26-11-2018 21:36:11_x000d__x000a_" u="1"/>
        <s v="Udtræk pr. 14-11-2018 17:13:34_x000d__x000a_" u="1"/>
        <s v="Udtræk pr. 14-11-2018 17:22:23_x000d__x000a_" u="1"/>
        <s v="Udtræk pr. 14-11-2018 17:14:46_x000d__x000a_" u="1"/>
        <s v="Udtræk pr. 17-03-2018 13:13:26" u="1"/>
        <s v="Udtræk pr. 14-11-2018 16:03:25_x000d__x000a_" u="1"/>
        <s v="Udtræk pr. 14-11-2018 17:48:52_x000d__x000a_" u="1"/>
        <s v="Udtræk pr. 17-03-2018 13:41:12" u="1"/>
        <s v="Udtræk pr. 14-11-2018 16:55:36_x000d__x000a_" u="1"/>
        <s v="Udtræk pr. 05-12-2018 17:28:45_x000d__x000a_" u="1"/>
        <s v="Filtre:_x000d__x000a_Områdenr.: 1211 Bløden_x000d__x000a__x000d__x000a_Hovedelement: Buske, Græs" u="1"/>
        <s v="Udtræk pr. 14-11-2018 17:13:37_x000d__x000a_" u="1"/>
        <s v="Udtræk pr. 05-12-2018 17:28:46_x000d__x000a_" u="1"/>
      </sharedItems>
    </cacheField>
    <cacheField name="omraade" numFmtId="0" sqlType="-10">
      <sharedItems count="254">
        <s v="1211 Bløden"/>
        <s v="4201 Veje By Frederikssund"/>
        <s v="1423 Nordmannsmosen" u="1"/>
        <s v="1248 Gammel Baneareal" u="1"/>
        <s v="20201 FIK" u="1"/>
        <s v="1401 Ved Sølvkærvej" u="1"/>
        <s v="10205 Adm. Byg. Lundevej 11 B" u="1"/>
        <s v="34301 Jægerprisskolerne - P-pladser og veje" u="1"/>
        <s v="31203 Kærholm afd. Kæret" u="1"/>
        <s v="1312 Legeplads Enghavevej" u="1"/>
        <s v="1215 Ådalen øst for Ådalsvej" u="1"/>
        <s v="70303 Parkvej 10A til 10E" u="1"/>
        <s v="41401 Dagplejens Legestue Skibby" u="1"/>
        <s v="1208 Kalvøen Syd" u="1"/>
        <s v="1405 Hammer Bakke" u="1"/>
        <s v="1306 Landerslev Gadekær" u="1"/>
        <s v="1217 Oppe Sundby Gadekær" u="1"/>
        <s v="1115 Parkvejens legeplads" u="1"/>
        <s v="40402 Børnehuset Skibyssen" u="1"/>
        <s v="1329 Møllehøj" u="1"/>
        <s v="1202 Hjemmeværnsgården" u="1"/>
        <s v="1411 Skuldelev Gadekær" u="1"/>
        <s v="23204 Foreningscenteret Pedersholm" u="1"/>
        <s v="52402 Bofællesskabet Nordmandshusene" u="1"/>
        <s v="34302 Fjordlandskolen Dalby - stier og P-pladser" u="1"/>
        <s v="1331 Jægerspris Mølle" u="1"/>
        <s v="20301 Femhøj Stadion" u="1"/>
        <s v="1412 Ved Junker Gadekær" u="1"/>
        <s v="10206 Adm.Byg. Lundevej 13" u="1"/>
        <s v="23102 Biografen i Slangerup" u="1"/>
        <s v="32204 Klub Mix" u="1"/>
        <s v="1418 Mindesten - Skibby - Hovedgaden" u="1"/>
        <s v="1229 Busterminal og banesti" u="1"/>
        <s v="60401 Omsorgscenteret Nordhøj" u="1"/>
        <s v="30401 Skolen i Herredet - Jægersprisskolen (Ferslev skole)" u="1"/>
        <s v="1245 Stenager" u="1"/>
        <s v="1221 Krat mellem Toftelund og Højvang" u="1"/>
        <s v="1107 Kongshøjparken" u="1"/>
        <s v="4102 Veje Land Slangerup" u="1"/>
        <s v="43301 Familiehuset Vestermosen" u="1"/>
        <s v="1318 Kulhuse Strand" u="1"/>
        <s v="40102 Børnehuset Strandstræde " u="1"/>
        <s v="1404 Sønderby Gadekær" u="1"/>
        <s v="30301 Jægerprisskolen 90" u="1"/>
        <s v="1213 Lille Rørbæk Gadekær" u="1"/>
        <s v="1315 Legeplads Urtehaven" u="1"/>
        <s v="20402 Ferslev Idrætsanlæg" u="1"/>
        <s v="30303 Fjordlandskolen Dalby" u="1"/>
        <s v="100 Testområde" u="1"/>
        <s v="1304 Krogstrup Gadekær" u="1"/>
        <s v="1410 Vejleby Gadekær" u="1"/>
        <s v="1317 Dalbyhuse Strand" u="1"/>
        <s v="20203 ORI - Bjergvejen" u="1"/>
        <s v="23401 Skibby Fritidscenter" u="1"/>
        <s v="1332 Kulhusgården" u="1"/>
        <s v="1201 Strandvej - Asgård" u="1"/>
        <s v="40101 Børnehuset Bakkebo" u="1"/>
        <s v="21201 Falkenborgskolens Idrætsanlæg" u="1"/>
        <s v="1233 Ved Toiletbygningen Havnen" u="1"/>
        <s v="1333 Vestre Strand" u="1"/>
        <s v="1316 Legeplads Kyndby" u="1"/>
        <s v="23303 Kulturhuset Rejsestalden" u="1"/>
        <s v="1203 Klinten" u="1"/>
        <s v="23207 Valhal" u="1"/>
        <s v="30205 Ådalens skole" u="1"/>
        <s v="1322 Losseplads Kulhuse" u="1"/>
        <s v="40406 Børnehuset Skolevejen" u="1"/>
        <s v="21500 Gymnasiets Idrætsanlæg" u="1"/>
        <s v="1227 Ådalsvej 89" u="1"/>
        <s v="23301 Jægerpris Bibliotek" u="1"/>
        <s v="1223 Strandparken" u="1"/>
        <s v="31201 Kærholm afd. Kølholm (Gyldenstenskolen)" u="1"/>
        <s v="1308 Overdråby Gadekær" u="1"/>
        <s v="1311 Legeplads Ahornvej" u="1"/>
        <s v="42102 Slangerup Børnehave" u="1"/>
        <s v="23203 JF Willumsens Museum" u="1"/>
        <s v="1114 Industri Vest - Kolonihaver" u="1"/>
        <s v="40207 Børnehuset Ådalen" u="1"/>
        <s v="40220 Børnehuset Lærkereden" u="1"/>
        <s v="30203 Trekløverskolen afd. Marienlyst" u="1"/>
        <s v="1425 Skov - Røgerupvej" u="1"/>
        <s v="21402 Skuldelev Idrætsanlæg" u="1"/>
        <s v="4202 Veje Land Frederikssund" u="1"/>
        <s v="23305 Kulhuse Kultur- og Medborgerhuset" u="1"/>
        <s v="1417 Skov mellem Dådyrvej og Hjortevænget" u="1"/>
        <s v="1204 Hofvej" u="1"/>
        <s v="32202 Klub 107" u="1"/>
        <s v="70304 Regnbuen" u="1"/>
        <s v="1224 Bag HT garage" u="1"/>
        <s v="1113 Øvejens legeplads" u="1"/>
        <s v="40217 Børnehuset Rørskov" u="1"/>
        <s v="23307 Spejderhytten Femhøj" u="1"/>
        <s v="40209 Børnehuset Skuldshøj" u="1"/>
        <s v="10101 Administrationscenteret Slangerup" u="1"/>
        <s v="40204 Børnehuset Møllevej" u="1"/>
        <s v="10203 Adm. Byg. Lundevej 7" u="1"/>
        <s v="50201 Værestedet Under Elmen" u="1"/>
        <s v="10201 Rådhuset" u="1"/>
        <s v="1302 Duemosevej branddam" u="1"/>
        <s v="40218 Børnehuset Troldehøjen" u="1"/>
        <s v="1104 Hørup Gadekær" u="1"/>
        <s v="22301 Kignæshallen" u="1"/>
        <s v="1232 Borgmestervænget" u="1"/>
        <s v="1428 Ferslev gammel gadekær" u="1"/>
        <s v="60204 Omsorgscentret Pedershave" u="1"/>
        <s v="20401 Skibby Idrætsanlæg" u="1"/>
        <s v="70401 Administrationscenteret Skibby" u="1"/>
        <s v="1117 Møllevangen" u="1"/>
        <s v="40308 Børnehuset Gerlev" u="1"/>
        <s v="42201 Sct Georgsgårdens Børnehave" u="1"/>
        <s v="1106 Kirkeengen" u="1"/>
        <s v="1403 Skibby Gadekær" u="1"/>
        <s v="1407 Vellerup Gadekær" u="1"/>
        <s v="40216 Børnehuset Toftelund" u="1"/>
        <s v="62301 Ældrecenteret Hermon" u="1"/>
        <s v="43201 Familiehuset Kong Dans vej" u="1"/>
        <s v="1238 Græse Bakkeby Nord - Bakkekammen" u="1"/>
        <s v="34101 Slangerup skole afd. Kingo og Byvang fælles P-areal" u="1"/>
        <s v="1216 Muldager" u="1"/>
        <s v="32203 Klub Nord" u="1"/>
        <s v="1314 Legeplads Tyrasvej" u="1"/>
        <s v="21302 Dalby Idrætsanlæg" u="1"/>
        <s v="30302 Jægerprisskolen 100" u="1"/>
        <s v="100 Smedetoften 4 - Vej og Park" u="1"/>
        <s v="1427 Vestervej Vejleby - Plads og sti" u="1"/>
        <s v="1419 Sølvkærvej - Vestergade - Skuldelev" u="1"/>
        <s v="1409 Venslev Gadekær" u="1"/>
        <s v="20302 Kulhus Sportsplads" u="1"/>
        <s v="1219 Gyldensten Skov og Sø" u="1"/>
        <s v="70301 Lægehuset Jægerspris" u="1"/>
        <s v="1313 Legeplads Hybenvej" u="1"/>
        <s v="10204 Adm. byg. Lundevej 9" u="1"/>
        <s v="40403 Børnehuset Nordstjernen" u="1"/>
        <s v="30202 Trekløverskolen afd. Græse Bakkeby" u="1"/>
        <s v="1301 Dalby Gadekær" u="1"/>
        <s v="1101 Slangerupgårds Bakken" u="1"/>
        <s v="40303 Børnehuset Krabbedam" u="1"/>
        <s v="40304 Børnehuset Kragebakken" u="1"/>
        <s v="1324 Thyrashøj" u="1"/>
        <s v="70101 Børnehuset Sælen" u="1"/>
        <s v="20204 ORI - Roskildevej" u="1"/>
        <s v="1206 Eng Græse Strandvej" u="1"/>
        <s v="40408 Børnehuset Solstrålen" u="1"/>
        <s v="60301 Omsorgscenteret De Tre Ege" u="1"/>
        <s v="1234 Banegraven" u="1"/>
        <s v="1406 Østby Gadekær" u="1"/>
        <s v="1239 Dyrlægegårds Alle" u="1"/>
        <s v="31202 Gyldenstenskolen afd. Bakketoppen" u="1"/>
        <s v="1429 Onsved Gadekær" u="1"/>
        <s v="1424 Byparken - Skibby" u="1"/>
        <s v="40214 Børnehuset Højvang" u="1"/>
        <s v="40212 Børnehuset Fjordtoppen" u="1"/>
        <s v="40305 Børnehuset Vandkunsten" u="1"/>
        <s v="1426 Støjvold Øst for Skibbyvej" u="1"/>
        <s v="32205 Dyreklubben Frederikssund" u="1"/>
        <s v="30201 Trekløverskolen afd. Falkenborg" u="1"/>
        <s v="1103 Hans Atkes Mose" u="1"/>
        <s v="1408 Ferslev Gadekær" u="1"/>
        <s v="1303 Gerlev Gadekær" u="1"/>
        <s v="40404 Børnehuset Pilehuset" u="1"/>
        <s v="30102 Slangerup skole afd. Byvang" u="1"/>
        <s v="40213 Børnehuset Pilehaven" u="1"/>
        <s v="30402 Fjordlandskolen skibby (Marbækskolen)" u="1"/>
        <s v="23208 Græse Gamle Skole" u="1"/>
        <s v="1205 Skov sydøst for S-banen" u="1"/>
        <s v="61101 Ældreboliger Solhøjvej" u="1"/>
        <s v="1110 Slotsmosen" u="1"/>
        <s v="1330 Rønnevej - Jægerpris" u="1"/>
        <s v="30403 Fjordlandskolen afd. Skuldelev" u="1"/>
        <s v="1422 Kærstrædet" u="1"/>
        <s v="32301 Klub Højen" u="1"/>
        <s v="4301 Veje By Jærgerspris" u="1"/>
        <s v="1214 Ådalen vest for Ådalsvej" u="1"/>
        <s v="60101 Omsorgscenteret Slangerup" u="1"/>
        <s v="1237 Tippen" u="1"/>
        <s v="200 Tester2" u="1"/>
        <s v="1415 Ved Brandbjerggård" u="1"/>
        <s v="41202 Dagplejens Legestue Frederikssund" u="1"/>
        <s v="Udenfor område" u="1"/>
        <s v="1102 Fredensgade Sportsplads" u="1"/>
        <s v="20101 SIK" u="1"/>
        <s v="40103 Børnehuset Kroghøj" u="1"/>
        <s v="1209 Landart" u="1"/>
        <s v="1243 Vangede - boldbaner" u="1"/>
        <s v="40301 Børnehuset Slotgården" u="1"/>
        <s v="50303 Dagtilbud Parkvej 4-6" u="1"/>
        <s v="30101 Slangerup skole afd. Kingo" u="1"/>
        <s v="1207 Kalvøen Nord" u="1"/>
        <s v="1222 Græse ådal mv" u="1"/>
        <s v="1225 Grønlien Grusgrav" u="1"/>
        <s v="10202 Adm. byg. Torvet 5" u="1"/>
        <s v="40210 Børnehuset Maglehøj" u="1"/>
        <s v="50304 Dagtilbud Parkvej 8" u="1"/>
        <s v="40215 Børnehuset Mariendal" u="1"/>
        <s v="21202 Ådalskolen Syds Idrætsanlæg" u="1"/>
        <s v="1305 Kyndby Gadekær" u="1"/>
        <s v="43202 Thorstedlund - Familie og Ungehus" u="1"/>
        <s v="1328 Merendalen" u="1"/>
        <s v="1402 Skuldelev Strand" u="1"/>
        <s v="4402 Veje Land Skibby" u="1"/>
        <s v="1416 Selsø Kirke - P-plads" u="1"/>
        <s v="40202 Specialbørnehaven Åkanden" u="1"/>
        <s v="1236 Nordkajen - Østkajen - Sydkajen" u="1"/>
        <s v="10301 Administrationscenter Jægerspris" u="1"/>
        <s v="1108 Kvinderup Gadekær" u="1"/>
        <s v="21301 Jægerprisskolernes Idrætsanlæg" u="1"/>
        <s v="1242 Strandgårds Alle" u="1"/>
        <s v="40205 Børnehuset Stagetorn" u="1"/>
        <s v="21203 Ådalskolens boldbaner" u="1"/>
        <s v="40302 Børnehuset Bakkegården" u="1"/>
        <s v="1109 Rotteskoven" u="1"/>
        <s v="40104 Børnehuset Lindehuset" u="1"/>
        <s v="34201 Trekløverskolen afd. Marienlyst - P-arealer" u="1"/>
        <s v="1212 Slåenbakken" u="1"/>
        <s v="1413 Legeplads v. Irisvej" u="1"/>
        <s v="1228 Æbleplantagen JF Willumsensvej" u="1"/>
        <s v="31301 Annekset" u="1"/>
        <s v="4101 Veje By Slangerup" u="1"/>
        <s v="1421 Skov for enden af Marbækvej" u="1"/>
        <s v="1210 Linderupvej" u="1"/>
        <s v="1231 Shellgrunden" u="1"/>
        <s v="21401 Fjordlandskolens Idrætsanlæg (Marbækskolen)" u="1"/>
        <s v="1226 Græse Gadekær" u="1"/>
        <s v="1105 Jørlunde Gadejord" u="1"/>
        <s v="4302 Veje Land Jærgerspris" u="1"/>
        <s v="40219 Børnehuset Stenhøjgård" u="1"/>
        <s v="23201 Frederikssund Bibliotek" u="1"/>
        <s v="33201 Trekløverskolen afd. Marienlyst Tandklinik" u="1"/>
        <s v="1414 Kildeskåret" u="1"/>
        <s v="1218 St. Rørbæk Gadekær" u="1"/>
        <s v="60201 Ældrecentret Lundebjerggård" u="1"/>
        <s v="60202 Omsorgscenteret Tolleruphøj" u="1"/>
        <s v="1325 Solhøj" u="1"/>
        <s v="70402 Hanghøj" u="1"/>
        <s v="1323 Skansen - Kulhuse" u="1"/>
        <s v="52401 Bofællesskabet Saltsøvej" u="1"/>
        <s v="23205 Rytterskolen i Store Rørbæk" u="1"/>
        <s v="40107 Børnehuset Troldhøj" u="1"/>
        <s v="1116 Ny Øvej - Spejder hytte" u="1"/>
        <s v="1244 Græse Bakkeby Nord - boldbaner" u="1"/>
        <s v="23103 Rutebilstationen - musikskolen" u="1"/>
        <s v="1326 Larsens Plads" u="1"/>
        <s v="61404 Ældreboliger Skuldelev" u="1"/>
        <s v="22201 Frederikssund Svømmehal" u="1"/>
        <s v="60203 Ældrecenteret Østergården" u="1"/>
        <s v="4401 Veje By Skibby" u="1"/>
        <s v="1307 Lyngerup Gadekær" u="1"/>
        <s v="40401 Børnehuset Tumlebo" u="1"/>
        <s v="1327 Magnoliavej 4 steder" u="1"/>
        <s v="1230 Skov øst for kolonihaverne på Bjergvej" u="1"/>
        <s v="2000 Bløden" u="1"/>
        <s v="1309 Tørslev Gadekær" u="1"/>
        <s v="40211 Børnehuset Ørnestenen" u="1"/>
        <s v="30103 Slangerup skole afd. Lindegård" u="1"/>
      </sharedItems>
    </cacheField>
    <cacheField name="element" numFmtId="0" sqlType="-10">
      <sharedItems count="72">
        <s v="ANA Anden anvendelse"/>
        <s v="BE-01-01 Asfalt"/>
        <s v="BE-01-02 Beton"/>
        <s v="BE-01-03 Natursten"/>
        <s v="BE-02-04 Jord"/>
        <s v="BE-03 Grus"/>
        <s v="BE-06-01 Faldgrus"/>
        <s v="BU-02 Busket"/>
        <s v="BU-03 Krat og hegn"/>
        <s v="GR-01 Brugsplæne"/>
        <s v="GR-04 Fælledgræs"/>
        <s v="HA-01 Hæk og pur"/>
        <s v="TR-01 Fritstående træ"/>
        <s v="UD-01-05 Parklys"/>
        <s v="UD-01-10 Affaldscontainer"/>
        <s v="UD-03-02 Betonmur"/>
        <s v="UD-04-01 Bord- og bænkesæt"/>
        <s v="UD-04 Bænk"/>
        <s v="UD-06 Legeudstyr"/>
        <s v="UD-07-01 Affaldsspand"/>
        <s v="BL-03 Plantekumme"/>
        <s v="BL-04 Roser og stauder"/>
        <s v="HA-01-01 Hæk og pur - 2x klip"/>
        <s v="TR-02 Vejtræ"/>
        <s v="UD-02-01 Betontrappe"/>
        <s v="UD-08 Busstop"/>
        <s v="UD-01-05 Parklys  -  Antal (stk.)" u="1"/>
        <s v="UD-06 Legeudstyr  -  Antal (stk.)" u="1"/>
        <s v="BE-01-02 Beton  -  Areal (m²)" u="1"/>
        <s v="BE-01-03 Natursten  -  Klippeflade_2 (m²)" u="1"/>
        <s v="BU-02 Busket  -  Areal (m²)" u="1"/>
        <s v="BE-01-01 Asfalt  -  Klippeflade_2 (m²)" u="1"/>
        <s v="BE-01-01 Asfalt  -  Areal (m²)" u="1"/>
        <s v="ANA Anden anvendelse  -  Areal (m²)" u="1"/>
        <s v="BL-04 Roser og stauder  -  Areal (m²)" u="1"/>
        <s v="HA-01 Hæk og pur  -  Klippeflade (m²)" u="1"/>
        <s v="TR-01 Fritstående træ  -  Antal (stk.)" u="1"/>
        <s v="HA-01 Hæk og pur  -  Areal (m²)" u="1"/>
        <s v="BE-06-01 Faldgrus  -  Areal (m²)" u="1"/>
        <s v="UD-02-01 Betontrappe  -  Areal (m²)" u="1"/>
        <s v="BE-01-03 Natursten  -  Areal (m²)" u="1"/>
        <s v="BL-05 Klatreplante  -  Klippeflade (lbm.)" u="1"/>
        <s v="UD-07-01 Affaldsspand  -  Antal (stk.)" u="1"/>
        <s v="UD-01-10 Affaldscontainer  -  Antal (stk.)" u="1"/>
        <s v="BU-03 Krat og hegn  -  Klippeflade_2 (m²)" u="1"/>
        <s v="GR-01 Brugsplæne  -  Klippeflade_2 (m²)" u="1"/>
        <s v="GR-04 Fælledgræs  -  Klippeflade_2 (m²)" u="1"/>
        <s v="BL-03 Plantekumme  -  Antal (stk.)" u="1"/>
        <s v="HA-01-01 Hæk og pur - 2x klip  -  Klippeflade (m²)" u="1"/>
        <s v="BL-05 Klatreplante  -  Længde (lbm.)" u="1"/>
        <s v="BU-02 Busket  -  Klippeflade_2 (m²)" u="1"/>
        <s v="TR-02 Vejtræ  -  Antal (stk.)" u="1"/>
        <s v="HA-01-01 Hæk og pur - 2x klip  -  Areal (m²)" u="1"/>
        <s v="HA-01-01 Hæk og pur - 2x klip  -  Klippeflade_2 (m²)" u="1"/>
        <s v="UD-04-01 Bord- og bænkesæt  -  Antal (stk.)" u="1"/>
        <s v="BE-01-02 Beton  -  Klippeflade_2 (m²)" u="1"/>
        <s v="BE-06-01 Faldgrus  -  Klippeflade_2 (m²)" u="1"/>
        <s v="BU-03 Krat og hegn  -  Areal (m²)" u="1"/>
        <s v="GR-01 Brugsplæne  -  Areal (m²)" u="1"/>
        <s v="GR-04 Fælledgræs  -  Areal (m²)" u="1"/>
        <s v="BE-02-04 Jord  -  Klippeflade_2 (m²)" u="1"/>
        <s v="HA-01 Hæk og pur  -  Klippeflade_1 (m²)" u="1"/>
        <s v="ANA Anden anvendelse  -  Klippeflade_2 (m²)" u="1"/>
        <s v="UD-08 Busstop  -  Antal (stk.)" u="1"/>
        <s v="BL-04 Roser og stauder  -  Klippeflade_2 (m²)" u="1"/>
        <s v="BE-03 Grus  -  Areal (m²)" u="1"/>
        <s v="BE-03 Grus  -  Klippeflade_2 (m²)" u="1"/>
        <s v="UD-02-01 Betontrappe  -  Klippeflade_2 (m²)" u="1"/>
        <s v="HA-01 Hæk og pur  -  Klippeflade_2 (m²)" u="1"/>
        <s v="UD-04 Bænk  -  Antal (stk.)" u="1"/>
        <s v="UD-03-02 Betonmur  -  Længde (lbm.)" u="1"/>
        <s v="BE-02-04 Jord  -  Areal (m²)" u="1"/>
      </sharedItems>
    </cacheField>
    <cacheField name="maengde_besk" numFmtId="0" sqlType="-10">
      <sharedItems count="4">
        <s v="Areal (m²)"/>
        <s v="Klippeflade (m²)"/>
        <s v="Antal (stk.)"/>
        <s v="Længde (lbm.)"/>
      </sharedItems>
    </cacheField>
    <cacheField name="maengde" numFmtId="0" sqlType="2">
      <sharedItems containsSemiMixedTypes="0" containsString="0" containsNumber="1" minValue="2" maxValue="18499.599999999999" count="30">
        <n v="61.4"/>
        <n v="3605"/>
        <n v="13"/>
        <n v="14.5"/>
        <n v="4.0999999999999996"/>
        <n v="3319.5"/>
        <n v="49.9"/>
        <n v="816.5"/>
        <n v="230.9"/>
        <n v="18499.599999999999"/>
        <n v="819.5"/>
        <n v="883.1"/>
        <n v="1645.1"/>
        <n v="145"/>
        <n v="17"/>
        <n v="6"/>
        <n v="4.9000000000000004"/>
        <n v="4"/>
        <n v="9"/>
        <n v="2"/>
        <n v="12"/>
        <n v="807.4"/>
        <n v="3"/>
        <n v="62.3"/>
        <n v="72.2"/>
        <n v="910.4"/>
        <n v="75.5"/>
        <n v="26.6"/>
        <n v="89"/>
        <n v="3.1"/>
      </sharedItems>
    </cacheField>
    <cacheField name="enhedspris" numFmtId="0" sqlType="2">
      <sharedItems containsString="0" containsBlank="1" containsNumber="1" containsInteger="1" minValue="12" maxValue="12" count="2">
        <m/>
        <n v="12"/>
      </sharedItems>
    </cacheField>
    <cacheField name="pris" numFmtId="0" sqlType="2">
      <sharedItems containsString="0" containsBlank="1" containsNumber="1" minValue="10925.06" maxValue="221995.73" count="3">
        <m/>
        <n v="221995.73"/>
        <n v="10925.0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x v="0"/>
    <x v="0"/>
    <x v="0"/>
    <x v="0"/>
    <x v="0"/>
  </r>
  <r>
    <x v="0"/>
    <x v="0"/>
    <x v="1"/>
    <x v="0"/>
    <x v="1"/>
    <x v="0"/>
    <x v="0"/>
  </r>
  <r>
    <x v="0"/>
    <x v="0"/>
    <x v="2"/>
    <x v="0"/>
    <x v="2"/>
    <x v="0"/>
    <x v="0"/>
  </r>
  <r>
    <x v="0"/>
    <x v="0"/>
    <x v="3"/>
    <x v="0"/>
    <x v="3"/>
    <x v="0"/>
    <x v="0"/>
  </r>
  <r>
    <x v="0"/>
    <x v="0"/>
    <x v="4"/>
    <x v="0"/>
    <x v="4"/>
    <x v="0"/>
    <x v="0"/>
  </r>
  <r>
    <x v="0"/>
    <x v="0"/>
    <x v="5"/>
    <x v="0"/>
    <x v="5"/>
    <x v="0"/>
    <x v="0"/>
  </r>
  <r>
    <x v="0"/>
    <x v="0"/>
    <x v="6"/>
    <x v="0"/>
    <x v="6"/>
    <x v="0"/>
    <x v="0"/>
  </r>
  <r>
    <x v="0"/>
    <x v="0"/>
    <x v="7"/>
    <x v="0"/>
    <x v="7"/>
    <x v="0"/>
    <x v="0"/>
  </r>
  <r>
    <x v="0"/>
    <x v="0"/>
    <x v="8"/>
    <x v="0"/>
    <x v="8"/>
    <x v="0"/>
    <x v="0"/>
  </r>
  <r>
    <x v="0"/>
    <x v="0"/>
    <x v="9"/>
    <x v="0"/>
    <x v="9"/>
    <x v="1"/>
    <x v="1"/>
  </r>
  <r>
    <x v="0"/>
    <x v="0"/>
    <x v="10"/>
    <x v="0"/>
    <x v="10"/>
    <x v="0"/>
    <x v="0"/>
  </r>
  <r>
    <x v="0"/>
    <x v="0"/>
    <x v="11"/>
    <x v="0"/>
    <x v="11"/>
    <x v="0"/>
    <x v="0"/>
  </r>
  <r>
    <x v="0"/>
    <x v="0"/>
    <x v="11"/>
    <x v="1"/>
    <x v="12"/>
    <x v="0"/>
    <x v="0"/>
  </r>
  <r>
    <x v="0"/>
    <x v="0"/>
    <x v="12"/>
    <x v="2"/>
    <x v="13"/>
    <x v="0"/>
    <x v="0"/>
  </r>
  <r>
    <x v="0"/>
    <x v="0"/>
    <x v="13"/>
    <x v="2"/>
    <x v="14"/>
    <x v="0"/>
    <x v="0"/>
  </r>
  <r>
    <x v="0"/>
    <x v="0"/>
    <x v="14"/>
    <x v="2"/>
    <x v="15"/>
    <x v="0"/>
    <x v="0"/>
  </r>
  <r>
    <x v="0"/>
    <x v="0"/>
    <x v="15"/>
    <x v="3"/>
    <x v="16"/>
    <x v="0"/>
    <x v="0"/>
  </r>
  <r>
    <x v="0"/>
    <x v="0"/>
    <x v="16"/>
    <x v="2"/>
    <x v="17"/>
    <x v="0"/>
    <x v="0"/>
  </r>
  <r>
    <x v="0"/>
    <x v="0"/>
    <x v="17"/>
    <x v="2"/>
    <x v="18"/>
    <x v="0"/>
    <x v="0"/>
  </r>
  <r>
    <x v="0"/>
    <x v="0"/>
    <x v="18"/>
    <x v="2"/>
    <x v="19"/>
    <x v="0"/>
    <x v="0"/>
  </r>
  <r>
    <x v="0"/>
    <x v="0"/>
    <x v="19"/>
    <x v="2"/>
    <x v="20"/>
    <x v="0"/>
    <x v="0"/>
  </r>
  <r>
    <x v="0"/>
    <x v="1"/>
    <x v="1"/>
    <x v="0"/>
    <x v="21"/>
    <x v="0"/>
    <x v="0"/>
  </r>
  <r>
    <x v="0"/>
    <x v="1"/>
    <x v="20"/>
    <x v="2"/>
    <x v="22"/>
    <x v="0"/>
    <x v="0"/>
  </r>
  <r>
    <x v="0"/>
    <x v="1"/>
    <x v="21"/>
    <x v="0"/>
    <x v="23"/>
    <x v="0"/>
    <x v="0"/>
  </r>
  <r>
    <x v="0"/>
    <x v="1"/>
    <x v="8"/>
    <x v="0"/>
    <x v="24"/>
    <x v="0"/>
    <x v="0"/>
  </r>
  <r>
    <x v="0"/>
    <x v="1"/>
    <x v="9"/>
    <x v="0"/>
    <x v="25"/>
    <x v="1"/>
    <x v="2"/>
  </r>
  <r>
    <x v="0"/>
    <x v="1"/>
    <x v="22"/>
    <x v="1"/>
    <x v="26"/>
    <x v="0"/>
    <x v="0"/>
  </r>
  <r>
    <x v="0"/>
    <x v="1"/>
    <x v="22"/>
    <x v="0"/>
    <x v="27"/>
    <x v="0"/>
    <x v="0"/>
  </r>
  <r>
    <x v="0"/>
    <x v="1"/>
    <x v="12"/>
    <x v="2"/>
    <x v="22"/>
    <x v="0"/>
    <x v="0"/>
  </r>
  <r>
    <x v="0"/>
    <x v="1"/>
    <x v="23"/>
    <x v="2"/>
    <x v="28"/>
    <x v="0"/>
    <x v="0"/>
  </r>
  <r>
    <x v="0"/>
    <x v="1"/>
    <x v="24"/>
    <x v="0"/>
    <x v="29"/>
    <x v="0"/>
    <x v="0"/>
  </r>
  <r>
    <x v="0"/>
    <x v="1"/>
    <x v="25"/>
    <x v="2"/>
    <x v="19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el1" cacheId="4" applyNumberFormats="0" applyBorderFormats="0" applyFontFormats="0" applyPatternFormats="0" applyAlignmentFormats="0" applyWidthHeightFormats="1" dataCaption="Værdier" updatedVersion="6" minRefreshableVersion="3" showDrill="0" useAutoFormatting="1" rowGrandTotals="0" colGrandTotals="0" itemPrintTitles="1" createdVersion="6" indent="0" showHeaders="0" outline="1" outlineData="1" multipleFieldFilters="0">
  <location ref="A1:D43" firstHeaderRow="0" firstDataRow="1" firstDataCol="1"/>
  <pivotFields count="7">
    <pivotField axis="axisRow" showAll="0">
      <items count="33">
        <item m="1" x="29"/>
        <item m="1" x="13"/>
        <item m="1" x="1"/>
        <item m="1" x="7"/>
        <item m="1" x="5"/>
        <item m="1" x="17"/>
        <item m="1" x="11"/>
        <item m="1" x="12"/>
        <item m="1" x="23"/>
        <item m="1" x="15"/>
        <item m="1" x="16"/>
        <item m="1" x="26"/>
        <item m="1" x="24"/>
        <item m="1" x="27"/>
        <item m="1" x="20"/>
        <item m="1" x="30"/>
        <item m="1" x="22"/>
        <item m="1" x="14"/>
        <item m="1" x="2"/>
        <item m="1" x="21"/>
        <item m="1" x="6"/>
        <item m="1" x="8"/>
        <item m="1" x="18"/>
        <item m="1" x="10"/>
        <item m="1" x="25"/>
        <item m="1" x="4"/>
        <item m="1" x="9"/>
        <item m="1" x="19"/>
        <item m="1" x="28"/>
        <item m="1" x="31"/>
        <item m="1" x="3"/>
        <item x="0"/>
        <item t="default"/>
      </items>
    </pivotField>
    <pivotField axis="axisRow" showAll="0" sortType="ascending">
      <items count="255">
        <item m="1" x="123"/>
        <item m="1" x="48"/>
        <item m="1" x="93"/>
        <item m="1" x="97"/>
        <item m="1" x="190"/>
        <item m="1" x="95"/>
        <item m="1" x="131"/>
        <item m="1" x="6"/>
        <item m="1" x="28"/>
        <item m="1" x="203"/>
        <item m="1" x="135"/>
        <item m="1" x="179"/>
        <item m="1" x="156"/>
        <item m="1" x="100"/>
        <item m="1" x="223"/>
        <item m="1" x="110"/>
        <item m="1" x="37"/>
        <item m="1" x="204"/>
        <item m="1" x="210"/>
        <item m="1" x="166"/>
        <item m="1" x="89"/>
        <item m="1" x="76"/>
        <item m="1" x="17"/>
        <item m="1" x="238"/>
        <item m="1" x="107"/>
        <item m="1" x="55"/>
        <item m="1" x="20"/>
        <item m="1" x="62"/>
        <item m="1" x="85"/>
        <item m="1" x="164"/>
        <item m="1" x="141"/>
        <item m="1" x="187"/>
        <item m="1" x="13"/>
        <item m="1" x="182"/>
        <item m="1" x="219"/>
        <item x="0"/>
        <item m="1" x="213"/>
        <item m="1" x="44"/>
        <item m="1" x="172"/>
        <item m="1" x="10"/>
        <item m="1" x="118"/>
        <item m="1" x="16"/>
        <item m="1" x="229"/>
        <item m="1" x="128"/>
        <item m="1" x="36"/>
        <item m="1" x="188"/>
        <item m="1" x="70"/>
        <item m="1" x="88"/>
        <item m="1" x="189"/>
        <item m="1" x="222"/>
        <item m="1" x="68"/>
        <item m="1" x="215"/>
        <item m="1" x="32"/>
        <item m="1" x="249"/>
        <item m="1" x="220"/>
        <item m="1" x="102"/>
        <item m="1" x="58"/>
        <item m="1" x="144"/>
        <item m="1" x="202"/>
        <item m="1" x="174"/>
        <item m="1" x="116"/>
        <item m="1" x="146"/>
        <item m="1" x="206"/>
        <item m="1" x="183"/>
        <item m="1" x="239"/>
        <item m="1" x="35"/>
        <item m="1" x="3"/>
        <item m="1" x="134"/>
        <item m="1" x="98"/>
        <item m="1" x="158"/>
        <item m="1" x="49"/>
        <item m="1" x="195"/>
        <item m="1" x="15"/>
        <item m="1" x="246"/>
        <item m="1" x="72"/>
        <item m="1" x="251"/>
        <item m="1" x="73"/>
        <item m="1" x="9"/>
        <item m="1" x="130"/>
        <item m="1" x="120"/>
        <item m="1" x="45"/>
        <item m="1" x="60"/>
        <item m="1" x="51"/>
        <item m="1" x="40"/>
        <item m="1" x="65"/>
        <item m="1" x="234"/>
        <item m="1" x="138"/>
        <item m="1" x="232"/>
        <item m="1" x="241"/>
        <item m="1" x="248"/>
        <item m="1" x="197"/>
        <item m="1" x="19"/>
        <item m="1" x="167"/>
        <item m="1" x="25"/>
        <item m="1" x="54"/>
        <item m="1" x="59"/>
        <item m="1" x="5"/>
        <item m="1" x="198"/>
        <item m="1" x="111"/>
        <item m="1" x="42"/>
        <item m="1" x="14"/>
        <item m="1" x="145"/>
        <item m="1" x="112"/>
        <item m="1" x="157"/>
        <item m="1" x="126"/>
        <item m="1" x="50"/>
        <item m="1" x="21"/>
        <item m="1" x="27"/>
        <item m="1" x="214"/>
        <item m="1" x="228"/>
        <item m="1" x="176"/>
        <item m="1" x="200"/>
        <item m="1" x="84"/>
        <item m="1" x="31"/>
        <item m="1" x="125"/>
        <item m="1" x="218"/>
        <item m="1" x="169"/>
        <item m="1" x="2"/>
        <item m="1" x="149"/>
        <item m="1" x="80"/>
        <item m="1" x="153"/>
        <item m="1" x="124"/>
        <item m="1" x="103"/>
        <item m="1" x="148"/>
        <item m="1" x="175"/>
        <item m="1" x="250"/>
        <item m="1" x="180"/>
        <item m="1" x="4"/>
        <item m="1" x="52"/>
        <item m="1" x="140"/>
        <item m="1" x="26"/>
        <item m="1" x="127"/>
        <item m="1" x="105"/>
        <item m="1" x="46"/>
        <item m="1" x="57"/>
        <item m="1" x="194"/>
        <item m="1" x="208"/>
        <item m="1" x="205"/>
        <item m="1" x="121"/>
        <item m="1" x="221"/>
        <item m="1" x="81"/>
        <item m="1" x="67"/>
        <item m="1" x="243"/>
        <item m="1" x="101"/>
        <item m="1" x="29"/>
        <item m="1" x="240"/>
        <item m="1" x="226"/>
        <item m="1" x="75"/>
        <item m="1" x="22"/>
        <item m="1" x="236"/>
        <item m="1" x="63"/>
        <item m="1" x="163"/>
        <item m="1" x="69"/>
        <item m="1" x="61"/>
        <item m="1" x="83"/>
        <item m="1" x="91"/>
        <item m="1" x="53"/>
        <item m="1" x="186"/>
        <item m="1" x="160"/>
        <item m="1" x="253"/>
        <item m="1" x="155"/>
        <item m="1" x="133"/>
        <item m="1" x="79"/>
        <item m="1" x="64"/>
        <item m="1" x="43"/>
        <item m="1" x="122"/>
        <item m="1" x="47"/>
        <item m="1" x="34"/>
        <item m="1" x="162"/>
        <item m="1" x="168"/>
        <item m="1" x="71"/>
        <item m="1" x="147"/>
        <item m="1" x="8"/>
        <item m="1" x="216"/>
        <item m="1" x="86"/>
        <item m="1" x="119"/>
        <item m="1" x="30"/>
        <item m="1" x="154"/>
        <item m="1" x="170"/>
        <item m="1" x="227"/>
        <item m="1" x="117"/>
        <item m="1" x="212"/>
        <item m="1" x="7"/>
        <item m="1" x="24"/>
        <item m="1" x="56"/>
        <item m="1" x="41"/>
        <item m="1" x="181"/>
        <item m="1" x="211"/>
        <item m="1" x="237"/>
        <item m="1" x="201"/>
        <item m="1" x="94"/>
        <item m="1" x="207"/>
        <item m="1" x="77"/>
        <item m="1" x="92"/>
        <item m="1" x="191"/>
        <item m="1" x="252"/>
        <item m="1" x="151"/>
        <item m="1" x="161"/>
        <item m="1" x="150"/>
        <item m="1" x="193"/>
        <item m="1" x="113"/>
        <item m="1" x="90"/>
        <item m="1" x="99"/>
        <item m="1" x="225"/>
        <item m="1" x="78"/>
        <item m="1" x="184"/>
        <item m="1" x="209"/>
        <item m="1" x="136"/>
        <item m="1" x="137"/>
        <item m="1" x="152"/>
        <item m="1" x="108"/>
        <item m="1" x="247"/>
        <item m="1" x="18"/>
        <item m="1" x="132"/>
        <item m="1" x="159"/>
        <item m="1" x="66"/>
        <item m="1" x="142"/>
        <item m="1" x="217"/>
        <item m="1" x="38"/>
        <item m="1" x="177"/>
        <item m="1" x="12"/>
        <item x="1"/>
        <item m="1" x="82"/>
        <item m="1" x="74"/>
        <item m="1" x="109"/>
        <item m="1" x="171"/>
        <item m="1" x="224"/>
        <item m="1" x="115"/>
        <item m="1" x="196"/>
        <item m="1" x="39"/>
        <item m="1" x="245"/>
        <item m="1" x="199"/>
        <item m="1" x="96"/>
        <item m="1" x="185"/>
        <item m="1" x="192"/>
        <item m="1" x="235"/>
        <item m="1" x="23"/>
        <item m="1" x="173"/>
        <item m="1" x="230"/>
        <item m="1" x="231"/>
        <item m="1" x="244"/>
        <item m="1" x="104"/>
        <item m="1" x="143"/>
        <item m="1" x="33"/>
        <item m="1" x="165"/>
        <item m="1" x="242"/>
        <item m="1" x="114"/>
        <item m="1" x="139"/>
        <item m="1" x="129"/>
        <item m="1" x="11"/>
        <item m="1" x="87"/>
        <item m="1" x="106"/>
        <item m="1" x="233"/>
        <item m="1" x="178"/>
        <item t="default"/>
      </items>
    </pivotField>
    <pivotField axis="axisRow" showAll="0">
      <items count="73">
        <item m="1" x="33"/>
        <item m="1" x="62"/>
        <item m="1" x="32"/>
        <item m="1" x="31"/>
        <item m="1" x="28"/>
        <item m="1" x="55"/>
        <item m="1" x="40"/>
        <item m="1" x="29"/>
        <item m="1" x="71"/>
        <item m="1" x="60"/>
        <item m="1" x="65"/>
        <item m="1" x="66"/>
        <item m="1" x="38"/>
        <item m="1" x="56"/>
        <item m="1" x="47"/>
        <item m="1" x="34"/>
        <item m="1" x="64"/>
        <item m="1" x="30"/>
        <item m="1" x="50"/>
        <item m="1" x="57"/>
        <item m="1" x="44"/>
        <item m="1" x="58"/>
        <item m="1" x="45"/>
        <item m="1" x="59"/>
        <item m="1" x="46"/>
        <item m="1" x="37"/>
        <item m="1" x="61"/>
        <item m="1" x="68"/>
        <item m="1" x="52"/>
        <item m="1" x="53"/>
        <item m="1" x="36"/>
        <item m="1" x="51"/>
        <item m="1" x="26"/>
        <item m="1" x="43"/>
        <item m="1" x="39"/>
        <item m="1" x="67"/>
        <item m="1" x="70"/>
        <item m="1" x="69"/>
        <item m="1" x="54"/>
        <item m="1" x="27"/>
        <item m="1" x="42"/>
        <item m="1" x="63"/>
        <item m="1" x="35"/>
        <item m="1" x="41"/>
        <item m="1" x="49"/>
        <item m="1"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Row" showAll="0">
      <items count="5">
        <item x="2"/>
        <item x="0"/>
        <item x="1"/>
        <item x="3"/>
        <item t="default"/>
      </items>
    </pivotField>
    <pivotField dataField="1" showAll="0"/>
    <pivotField dataField="1" showAll="0"/>
    <pivotField dataField="1" showAll="0"/>
  </pivotFields>
  <rowFields count="4">
    <field x="0"/>
    <field x="1"/>
    <field x="3"/>
    <field x="2"/>
  </rowFields>
  <rowItems count="42">
    <i>
      <x v="31"/>
    </i>
    <i r="1">
      <x v="35"/>
    </i>
    <i r="2">
      <x/>
    </i>
    <i r="3">
      <x v="58"/>
    </i>
    <i r="3">
      <x v="59"/>
    </i>
    <i r="3">
      <x v="60"/>
    </i>
    <i r="3">
      <x v="62"/>
    </i>
    <i r="3">
      <x v="63"/>
    </i>
    <i r="3">
      <x v="64"/>
    </i>
    <i r="3">
      <x v="65"/>
    </i>
    <i r="2">
      <x v="1"/>
    </i>
    <i r="3">
      <x v="46"/>
    </i>
    <i r="3">
      <x v="47"/>
    </i>
    <i r="3">
      <x v="48"/>
    </i>
    <i r="3">
      <x v="49"/>
    </i>
    <i r="3">
      <x v="50"/>
    </i>
    <i r="3">
      <x v="51"/>
    </i>
    <i r="3">
      <x v="52"/>
    </i>
    <i r="3">
      <x v="53"/>
    </i>
    <i r="3">
      <x v="54"/>
    </i>
    <i r="3">
      <x v="55"/>
    </i>
    <i r="3">
      <x v="56"/>
    </i>
    <i r="3">
      <x v="57"/>
    </i>
    <i r="2">
      <x v="2"/>
    </i>
    <i r="3">
      <x v="57"/>
    </i>
    <i r="2">
      <x v="3"/>
    </i>
    <i r="3">
      <x v="61"/>
    </i>
    <i r="1">
      <x v="221"/>
    </i>
    <i r="2">
      <x/>
    </i>
    <i r="3">
      <x v="58"/>
    </i>
    <i r="3">
      <x v="66"/>
    </i>
    <i r="3">
      <x v="69"/>
    </i>
    <i r="3">
      <x v="71"/>
    </i>
    <i r="2">
      <x v="1"/>
    </i>
    <i r="3">
      <x v="47"/>
    </i>
    <i r="3">
      <x v="54"/>
    </i>
    <i r="3">
      <x v="55"/>
    </i>
    <i r="3">
      <x v="67"/>
    </i>
    <i r="3">
      <x v="68"/>
    </i>
    <i r="3">
      <x v="70"/>
    </i>
    <i r="2">
      <x v="2"/>
    </i>
    <i r="3">
      <x v="68"/>
    </i>
  </rowItems>
  <colFields count="1">
    <field x="-2"/>
  </colFields>
  <colItems count="3">
    <i>
      <x/>
    </i>
    <i i="1">
      <x v="1"/>
    </i>
    <i i="2">
      <x v="2"/>
    </i>
  </colItems>
  <dataFields count="3">
    <dataField name="Mængde " fld="4" baseField="0" baseItem="12"/>
    <dataField name="Enhedspris " fld="5" baseField="0" baseItem="12"/>
    <dataField name="Pris " fld="6" baseField="2" baseItem="0" numFmtId="164"/>
  </dataFields>
  <formats count="1">
    <format dxfId="20">
      <pivotArea dataOnly="0" labelOnly="1" fieldPosition="0">
        <references count="1">
          <reference field="0" count="0"/>
        </references>
      </pivotArea>
    </format>
  </formats>
  <conditionalFormats count="12">
    <conditionalFormat scope="field" priority="15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0" count="0" selected="0"/>
          </references>
        </pivotArea>
      </pivotAreas>
    </conditionalFormat>
    <conditionalFormat scope="field" priority="14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1" count="0" selected="0"/>
          </references>
        </pivotArea>
      </pivotAreas>
    </conditionalFormat>
    <conditionalFormat scope="field" priority="12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2" count="0" selected="0"/>
          </references>
        </pivotArea>
      </pivotAreas>
    </conditionalFormat>
    <conditionalFormat scope="field" priority="11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2" count="0" selected="0"/>
          </references>
        </pivotArea>
      </pivotAreas>
    </conditionalFormat>
    <conditionalFormat scope="field" priority="10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1" count="0" selected="0"/>
          </references>
        </pivotArea>
      </pivotAreas>
    </conditionalFormat>
    <conditionalFormat scope="field" priority="9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0" count="0" selected="0"/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13"/>
            </reference>
          </references>
        </pivotArea>
      </pivotAreas>
    </conditionalFormat>
    <conditionalFormat scope="field" priority="5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3" count="0" selected="0"/>
          </references>
        </pivotArea>
      </pivotAreas>
    </conditionalFormat>
    <conditionalFormat scope="field" priority="4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3" count="0" selected="0"/>
          </references>
        </pivotArea>
      </pivotAreas>
    </conditionalFormat>
    <conditionalFormat scope="field" priority="3">
      <pivotAreas count="1">
        <pivotArea outline="0" collapsedLevelsAreSubtotals="1" fieldPosition="0">
          <references count="2">
            <reference field="4294967294" count="1" selected="0">
              <x v="2"/>
            </reference>
            <reference field="3" count="0" selected="0"/>
          </references>
        </pivotArea>
      </pivotAreas>
    </conditionalFormat>
    <conditionalFormat scope="field" priority="1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2" count="0" selected="0"/>
          </references>
        </pivotArea>
      </pivotAreas>
    </conditionalFormat>
  </conditionalFormats>
  <pivotTableStyleInfo name="PivotStyleLight2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3"/>
  <sheetViews>
    <sheetView tabSelected="1" zoomScaleNormal="100" workbookViewId="0">
      <pane ySplit="2" topLeftCell="A3" activePane="bottomLeft" state="frozen"/>
      <selection pane="bottomLeft" activeCell="G17" sqref="G17"/>
    </sheetView>
  </sheetViews>
  <sheetFormatPr defaultRowHeight="15" x14ac:dyDescent="0.25"/>
  <cols>
    <col min="1" max="1" width="31.28515625" bestFit="1" customWidth="1"/>
    <col min="2" max="2" width="9.28515625" bestFit="1" customWidth="1"/>
    <col min="3" max="3" width="11.140625" bestFit="1" customWidth="1"/>
    <col min="4" max="4" width="12.85546875" bestFit="1" customWidth="1"/>
    <col min="5" max="6" width="15.7109375" customWidth="1"/>
    <col min="7" max="54" width="9.140625" customWidth="1"/>
  </cols>
  <sheetData>
    <row r="1" spans="1:4" hidden="1" x14ac:dyDescent="0.25">
      <c r="B1" t="s">
        <v>0</v>
      </c>
      <c r="C1" t="s">
        <v>1</v>
      </c>
      <c r="D1" t="s">
        <v>2</v>
      </c>
    </row>
    <row r="2" spans="1:4" ht="30" x14ac:dyDescent="0.25">
      <c r="A2" s="5" t="s">
        <v>35</v>
      </c>
      <c r="B2" s="1">
        <v>32216.499999999996</v>
      </c>
      <c r="C2" s="1">
        <v>24</v>
      </c>
      <c r="D2" s="2">
        <v>232920.79</v>
      </c>
    </row>
    <row r="3" spans="1:4" x14ac:dyDescent="0.25">
      <c r="A3" s="3" t="s">
        <v>4</v>
      </c>
      <c r="B3" s="1">
        <v>30161.999999999996</v>
      </c>
      <c r="C3" s="1">
        <v>12</v>
      </c>
      <c r="D3" s="2">
        <v>221995.73</v>
      </c>
    </row>
    <row r="4" spans="1:4" x14ac:dyDescent="0.25">
      <c r="A4" s="4" t="s">
        <v>31</v>
      </c>
      <c r="B4" s="1">
        <v>195</v>
      </c>
      <c r="C4" s="1"/>
      <c r="D4" s="2"/>
    </row>
    <row r="5" spans="1:4" x14ac:dyDescent="0.25">
      <c r="A5" s="6" t="s">
        <v>17</v>
      </c>
      <c r="B5" s="1">
        <v>145</v>
      </c>
      <c r="C5" s="1"/>
      <c r="D5" s="2"/>
    </row>
    <row r="6" spans="1:4" x14ac:dyDescent="0.25">
      <c r="A6" s="6" t="s">
        <v>18</v>
      </c>
      <c r="B6" s="1">
        <v>17</v>
      </c>
      <c r="C6" s="1"/>
      <c r="D6" s="2"/>
    </row>
    <row r="7" spans="1:4" x14ac:dyDescent="0.25">
      <c r="A7" s="6" t="s">
        <v>19</v>
      </c>
      <c r="B7" s="1">
        <v>6</v>
      </c>
      <c r="C7" s="1"/>
      <c r="D7" s="2"/>
    </row>
    <row r="8" spans="1:4" x14ac:dyDescent="0.25">
      <c r="A8" s="6" t="s">
        <v>21</v>
      </c>
      <c r="B8" s="1">
        <v>4</v>
      </c>
      <c r="C8" s="1"/>
      <c r="D8" s="2"/>
    </row>
    <row r="9" spans="1:4" x14ac:dyDescent="0.25">
      <c r="A9" s="6" t="s">
        <v>22</v>
      </c>
      <c r="B9" s="1">
        <v>9</v>
      </c>
      <c r="C9" s="1"/>
      <c r="D9" s="2"/>
    </row>
    <row r="10" spans="1:4" x14ac:dyDescent="0.25">
      <c r="A10" s="6" t="s">
        <v>23</v>
      </c>
      <c r="B10" s="1">
        <v>2</v>
      </c>
      <c r="C10" s="1"/>
      <c r="D10" s="2"/>
    </row>
    <row r="11" spans="1:4" x14ac:dyDescent="0.25">
      <c r="A11" s="6" t="s">
        <v>24</v>
      </c>
      <c r="B11" s="1">
        <v>12</v>
      </c>
      <c r="C11" s="1"/>
      <c r="D11" s="2"/>
    </row>
    <row r="12" spans="1:4" x14ac:dyDescent="0.25">
      <c r="A12" s="4" t="s">
        <v>32</v>
      </c>
      <c r="B12" s="1">
        <v>28316.999999999996</v>
      </c>
      <c r="C12" s="1">
        <v>12</v>
      </c>
      <c r="D12" s="2">
        <v>221995.73</v>
      </c>
    </row>
    <row r="13" spans="1:4" x14ac:dyDescent="0.25">
      <c r="A13" s="6" t="s">
        <v>5</v>
      </c>
      <c r="B13" s="1">
        <v>61.4</v>
      </c>
      <c r="C13" s="1"/>
      <c r="D13" s="2"/>
    </row>
    <row r="14" spans="1:4" x14ac:dyDescent="0.25">
      <c r="A14" s="6" t="s">
        <v>6</v>
      </c>
      <c r="B14" s="1">
        <v>3605</v>
      </c>
      <c r="C14" s="1"/>
      <c r="D14" s="2"/>
    </row>
    <row r="15" spans="1:4" x14ac:dyDescent="0.25">
      <c r="A15" s="6" t="s">
        <v>7</v>
      </c>
      <c r="B15" s="1">
        <v>13</v>
      </c>
      <c r="C15" s="1"/>
      <c r="D15" s="2"/>
    </row>
    <row r="16" spans="1:4" x14ac:dyDescent="0.25">
      <c r="A16" s="6" t="s">
        <v>8</v>
      </c>
      <c r="B16" s="1">
        <v>14.5</v>
      </c>
      <c r="C16" s="1"/>
      <c r="D16" s="2"/>
    </row>
    <row r="17" spans="1:4" x14ac:dyDescent="0.25">
      <c r="A17" s="6" t="s">
        <v>9</v>
      </c>
      <c r="B17" s="1">
        <v>4.0999999999999996</v>
      </c>
      <c r="C17" s="1"/>
      <c r="D17" s="2"/>
    </row>
    <row r="18" spans="1:4" x14ac:dyDescent="0.25">
      <c r="A18" s="6" t="s">
        <v>10</v>
      </c>
      <c r="B18" s="1">
        <v>3319.5</v>
      </c>
      <c r="C18" s="1"/>
      <c r="D18" s="2"/>
    </row>
    <row r="19" spans="1:4" x14ac:dyDescent="0.25">
      <c r="A19" s="6" t="s">
        <v>11</v>
      </c>
      <c r="B19" s="1">
        <v>49.9</v>
      </c>
      <c r="C19" s="1"/>
      <c r="D19" s="2"/>
    </row>
    <row r="20" spans="1:4" x14ac:dyDescent="0.25">
      <c r="A20" s="6" t="s">
        <v>12</v>
      </c>
      <c r="B20" s="1">
        <v>816.5</v>
      </c>
      <c r="C20" s="1"/>
      <c r="D20" s="2"/>
    </row>
    <row r="21" spans="1:4" x14ac:dyDescent="0.25">
      <c r="A21" s="6" t="s">
        <v>13</v>
      </c>
      <c r="B21" s="1">
        <v>230.9</v>
      </c>
      <c r="C21" s="1"/>
      <c r="D21" s="2"/>
    </row>
    <row r="22" spans="1:4" x14ac:dyDescent="0.25">
      <c r="A22" s="6" t="s">
        <v>14</v>
      </c>
      <c r="B22" s="1">
        <v>18499.599999999999</v>
      </c>
      <c r="C22" s="1">
        <v>12</v>
      </c>
      <c r="D22" s="2">
        <v>221995.73</v>
      </c>
    </row>
    <row r="23" spans="1:4" x14ac:dyDescent="0.25">
      <c r="A23" s="6" t="s">
        <v>15</v>
      </c>
      <c r="B23" s="1">
        <v>819.5</v>
      </c>
      <c r="C23" s="1"/>
      <c r="D23" s="2"/>
    </row>
    <row r="24" spans="1:4" x14ac:dyDescent="0.25">
      <c r="A24" s="6" t="s">
        <v>16</v>
      </c>
      <c r="B24" s="1">
        <v>883.1</v>
      </c>
      <c r="C24" s="1"/>
      <c r="D24" s="2"/>
    </row>
    <row r="25" spans="1:4" x14ac:dyDescent="0.25">
      <c r="A25" s="4" t="s">
        <v>33</v>
      </c>
      <c r="B25" s="1">
        <v>1645.1</v>
      </c>
      <c r="C25" s="1"/>
      <c r="D25" s="2"/>
    </row>
    <row r="26" spans="1:4" x14ac:dyDescent="0.25">
      <c r="A26" s="6" t="s">
        <v>16</v>
      </c>
      <c r="B26" s="1">
        <v>1645.1</v>
      </c>
      <c r="C26" s="1"/>
      <c r="D26" s="2"/>
    </row>
    <row r="27" spans="1:4" x14ac:dyDescent="0.25">
      <c r="A27" s="4" t="s">
        <v>34</v>
      </c>
      <c r="B27" s="1">
        <v>4.9000000000000004</v>
      </c>
      <c r="C27" s="1"/>
      <c r="D27" s="2"/>
    </row>
    <row r="28" spans="1:4" x14ac:dyDescent="0.25">
      <c r="A28" s="6" t="s">
        <v>20</v>
      </c>
      <c r="B28" s="1">
        <v>4.9000000000000004</v>
      </c>
      <c r="C28" s="1"/>
      <c r="D28" s="2"/>
    </row>
    <row r="29" spans="1:4" x14ac:dyDescent="0.25">
      <c r="A29" s="3" t="s">
        <v>3</v>
      </c>
      <c r="B29" s="1">
        <v>2054.5</v>
      </c>
      <c r="C29" s="1">
        <v>12</v>
      </c>
      <c r="D29" s="2">
        <v>10925.06</v>
      </c>
    </row>
    <row r="30" spans="1:4" x14ac:dyDescent="0.25">
      <c r="A30" s="4" t="s">
        <v>31</v>
      </c>
      <c r="B30" s="1">
        <v>97</v>
      </c>
      <c r="C30" s="1"/>
      <c r="D30" s="2"/>
    </row>
    <row r="31" spans="1:4" x14ac:dyDescent="0.25">
      <c r="A31" s="6" t="s">
        <v>17</v>
      </c>
      <c r="B31" s="1">
        <v>3</v>
      </c>
      <c r="C31" s="1"/>
      <c r="D31" s="2"/>
    </row>
    <row r="32" spans="1:4" x14ac:dyDescent="0.25">
      <c r="A32" s="6" t="s">
        <v>25</v>
      </c>
      <c r="B32" s="1">
        <v>3</v>
      </c>
      <c r="C32" s="1"/>
      <c r="D32" s="2"/>
    </row>
    <row r="33" spans="1:4" x14ac:dyDescent="0.25">
      <c r="A33" s="6" t="s">
        <v>28</v>
      </c>
      <c r="B33" s="1">
        <v>89</v>
      </c>
      <c r="C33" s="1"/>
      <c r="D33" s="2"/>
    </row>
    <row r="34" spans="1:4" x14ac:dyDescent="0.25">
      <c r="A34" s="6" t="s">
        <v>30</v>
      </c>
      <c r="B34" s="1">
        <v>2</v>
      </c>
      <c r="C34" s="1"/>
      <c r="D34" s="2"/>
    </row>
    <row r="35" spans="1:4" x14ac:dyDescent="0.25">
      <c r="A35" s="4" t="s">
        <v>32</v>
      </c>
      <c r="B35" s="1">
        <v>1881.9999999999998</v>
      </c>
      <c r="C35" s="1">
        <v>12</v>
      </c>
      <c r="D35" s="2">
        <v>10925.06</v>
      </c>
    </row>
    <row r="36" spans="1:4" x14ac:dyDescent="0.25">
      <c r="A36" s="6" t="s">
        <v>6</v>
      </c>
      <c r="B36" s="1">
        <v>807.4</v>
      </c>
      <c r="C36" s="1"/>
      <c r="D36" s="2"/>
    </row>
    <row r="37" spans="1:4" x14ac:dyDescent="0.25">
      <c r="A37" s="6" t="s">
        <v>13</v>
      </c>
      <c r="B37" s="1">
        <v>72.2</v>
      </c>
      <c r="C37" s="1"/>
      <c r="D37" s="2"/>
    </row>
    <row r="38" spans="1:4" x14ac:dyDescent="0.25">
      <c r="A38" s="6" t="s">
        <v>14</v>
      </c>
      <c r="B38" s="1">
        <v>910.4</v>
      </c>
      <c r="C38" s="1">
        <v>12</v>
      </c>
      <c r="D38" s="2">
        <v>10925.06</v>
      </c>
    </row>
    <row r="39" spans="1:4" x14ac:dyDescent="0.25">
      <c r="A39" s="6" t="s">
        <v>26</v>
      </c>
      <c r="B39" s="1">
        <v>62.3</v>
      </c>
      <c r="C39" s="1"/>
      <c r="D39" s="2"/>
    </row>
    <row r="40" spans="1:4" x14ac:dyDescent="0.25">
      <c r="A40" s="6" t="s">
        <v>27</v>
      </c>
      <c r="B40" s="1">
        <v>26.6</v>
      </c>
      <c r="C40" s="1"/>
      <c r="D40" s="2"/>
    </row>
    <row r="41" spans="1:4" x14ac:dyDescent="0.25">
      <c r="A41" s="6" t="s">
        <v>29</v>
      </c>
      <c r="B41" s="1">
        <v>3.1</v>
      </c>
      <c r="C41" s="1"/>
      <c r="D41" s="2"/>
    </row>
    <row r="42" spans="1:4" x14ac:dyDescent="0.25">
      <c r="A42" s="4" t="s">
        <v>33</v>
      </c>
      <c r="B42" s="1">
        <v>75.5</v>
      </c>
      <c r="C42" s="1"/>
      <c r="D42" s="2"/>
    </row>
    <row r="43" spans="1:4" x14ac:dyDescent="0.25">
      <c r="A43" s="6" t="s">
        <v>27</v>
      </c>
      <c r="B43" s="1">
        <v>75.5</v>
      </c>
      <c r="C43" s="1"/>
      <c r="D43" s="2"/>
    </row>
  </sheetData>
  <conditionalFormatting pivot="1" sqref="B2">
    <cfRule type="expression" dxfId="28" priority="15">
      <formula>TRUE</formula>
    </cfRule>
  </conditionalFormatting>
  <conditionalFormatting pivot="1" sqref="B3 B29">
    <cfRule type="expression" dxfId="27" priority="14">
      <formula>TRUE</formula>
    </cfRule>
  </conditionalFormatting>
  <conditionalFormatting pivot="1" sqref="B5:B11 B13:B24 B26 B28 B31:B34 B36:B41 B43">
    <cfRule type="expression" dxfId="26" priority="12">
      <formula>MOD(B5,1)&gt;0</formula>
    </cfRule>
  </conditionalFormatting>
  <conditionalFormatting pivot="1" sqref="B5:B11 B13:B24 B26 B28 B31:B34 B36:B41 B43">
    <cfRule type="expression" dxfId="25" priority="11">
      <formula>MOD(B5,1)=0</formula>
    </cfRule>
  </conditionalFormatting>
  <conditionalFormatting pivot="1" sqref="C3 C29">
    <cfRule type="expression" dxfId="24" priority="10">
      <formula>TRUE</formula>
    </cfRule>
  </conditionalFormatting>
  <conditionalFormatting pivot="1" sqref="C2">
    <cfRule type="expression" dxfId="23" priority="9">
      <formula>TRUE</formula>
    </cfRule>
  </conditionalFormatting>
  <conditionalFormatting pivot="1" sqref="D2:D43">
    <cfRule type="expression" dxfId="22" priority="7">
      <formula>TRUE</formula>
    </cfRule>
  </conditionalFormatting>
  <conditionalFormatting pivot="1">
    <cfRule type="expression" dxfId="21" priority="6">
      <formula>TRUE</formula>
    </cfRule>
  </conditionalFormatting>
  <conditionalFormatting pivot="1" sqref="B4 B12 B25 B27 B30 B35 B42">
    <cfRule type="expression" dxfId="3" priority="5">
      <formula>TRUE</formula>
    </cfRule>
  </conditionalFormatting>
  <conditionalFormatting pivot="1" sqref="C4 C12 C25 C27 C30 C35 C42">
    <cfRule type="expression" dxfId="2" priority="4">
      <formula>TRUE</formula>
    </cfRule>
  </conditionalFormatting>
  <conditionalFormatting pivot="1" sqref="D4 D12 D25 D27 D30 D35 D42">
    <cfRule type="expression" dxfId="1" priority="3">
      <formula>TRUE</formula>
    </cfRule>
  </conditionalFormatting>
  <conditionalFormatting pivot="1" sqref="C5:C11 C13:C24 C26 C28 C31:C34 C36:C41 C43">
    <cfRule type="expression" dxfId="0" priority="1">
      <formula>TRUE</formula>
    </cfRule>
  </conditionalFormatting>
  <pageMargins left="0.7" right="0.7" top="0.75" bottom="0.75" header="0.3" footer="0.3"/>
  <pageSetup paperSize="8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CasperBertelsen</dc:creator>
  <cp:lastModifiedBy>cbj</cp:lastModifiedBy>
  <cp:lastPrinted>2018-03-17T12:17:23Z</cp:lastPrinted>
  <dcterms:created xsi:type="dcterms:W3CDTF">2017-04-17T13:51:33Z</dcterms:created>
  <dcterms:modified xsi:type="dcterms:W3CDTF">2018-12-05T16:36:52Z</dcterms:modified>
</cp:coreProperties>
</file>